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cuments\Desktop\"/>
    </mc:Choice>
  </mc:AlternateContent>
  <xr:revisionPtr revIDLastSave="0" documentId="8_{39F3C144-14E4-4324-B27A-ED0F020EAD20}" xr6:coauthVersionLast="47" xr6:coauthVersionMax="47" xr10:uidLastSave="{00000000-0000-0000-0000-000000000000}"/>
  <bookViews>
    <workbookView xWindow="-120" yWindow="-120" windowWidth="29040" windowHeight="15720" xr2:uid="{012F8EFF-82C8-4121-87CB-3FCE58BF43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19" i="1"/>
  <c r="B20" i="1"/>
  <c r="B21" i="1"/>
  <c r="B22" i="1"/>
  <c r="B23" i="1"/>
  <c r="B24" i="1"/>
  <c r="B25" i="1"/>
  <c r="B26" i="1"/>
  <c r="B27" i="1"/>
  <c r="B18" i="1"/>
  <c r="E14" i="1"/>
  <c r="E3" i="1"/>
  <c r="E4" i="1"/>
  <c r="E5" i="1"/>
  <c r="E6" i="1"/>
  <c r="E7" i="1"/>
  <c r="E8" i="1"/>
  <c r="E9" i="1"/>
  <c r="E10" i="1"/>
  <c r="E11" i="1"/>
  <c r="E12" i="1"/>
  <c r="E2" i="1"/>
  <c r="D2" i="1"/>
  <c r="D14" i="1"/>
  <c r="D3" i="1"/>
  <c r="D4" i="1"/>
  <c r="D5" i="1"/>
  <c r="D6" i="1"/>
  <c r="D7" i="1"/>
  <c r="D8" i="1"/>
  <c r="D9" i="1"/>
  <c r="D10" i="1"/>
  <c r="D11" i="1"/>
  <c r="D12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<sst xmlns="http://schemas.openxmlformats.org/spreadsheetml/2006/main" count="6" uniqueCount="6">
  <si>
    <t>d (m)</t>
  </si>
  <si>
    <t>P(uW)</t>
  </si>
  <si>
    <t>1/d^2 (m²)</t>
  </si>
  <si>
    <t>A1</t>
  </si>
  <si>
    <t>A2</t>
  </si>
  <si>
    <t>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</si>
</sst>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baseline="0">
                <a:latin typeface="Times New Roman" panose="02020603050405020304" pitchFamily="18" charset="0"/>
              </a:rPr>
              <a:t>Mesure puissance WIFI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P(uW)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Feuil1!$A$2:$A$12</c:f>
              <c:numCache>
                <c:formatCode>General</c:formatCode>
                <c:ptCount val="1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Feuil1!$B$2:$B$12</c:f>
              <c:numCache>
                <c:formatCode>General</c:formatCode>
                <c:ptCount val="11"/>
                <c:pt idx="0">
                  <c:v>4.1900000000000004</c:v>
                </c:pt>
                <c:pt idx="1">
                  <c:v>1.7450000000000001</c:v>
                </c:pt>
                <c:pt idx="2">
                  <c:v>0.94499999999999995</c:v>
                </c:pt>
                <c:pt idx="3">
                  <c:v>0.47499999999999998</c:v>
                </c:pt>
                <c:pt idx="4">
                  <c:v>0.28599999999999998</c:v>
                </c:pt>
                <c:pt idx="5">
                  <c:v>0.16400000000000001</c:v>
                </c:pt>
                <c:pt idx="6">
                  <c:v>0.11700000000000001</c:v>
                </c:pt>
                <c:pt idx="7">
                  <c:v>8.2000000000000003E-2</c:v>
                </c:pt>
                <c:pt idx="8">
                  <c:v>5.1999999999999998E-2</c:v>
                </c:pt>
                <c:pt idx="9">
                  <c:v>5.2999999999999999E-2</c:v>
                </c:pt>
                <c:pt idx="10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7-485F-A7C3-D4BB50E08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775295"/>
        <c:axId val="1702775775"/>
      </c:scatterChart>
      <c:valAx>
        <c:axId val="170277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fr-FR" baseline="0">
                    <a:latin typeface="Times New Roman" panose="02020603050405020304" pitchFamily="18" charset="0"/>
                  </a:rPr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fr-FR"/>
          </a:p>
        </c:txPr>
        <c:crossAx val="1702775775"/>
        <c:crosses val="autoZero"/>
        <c:crossBetween val="midCat"/>
      </c:valAx>
      <c:valAx>
        <c:axId val="170277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fr-FR" baseline="0">
                    <a:latin typeface="Times New Roman" panose="02020603050405020304" pitchFamily="18" charset="0"/>
                  </a:rPr>
                  <a:t>Puissance mesuré (µW)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fr-FR"/>
          </a:p>
        </c:txPr>
        <c:crossAx val="1702775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fr-FR" baseline="0">
                <a:latin typeface="Times New Roman" panose="02020603050405020304" pitchFamily="18" charset="0"/>
              </a:rPr>
              <a:t>Mesure puissance WIFI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Feuil1!$C$2:$C$12</c:f>
              <c:numCache>
                <c:formatCode>General</c:formatCode>
                <c:ptCount val="11"/>
                <c:pt idx="0">
                  <c:v>0.01</c:v>
                </c:pt>
                <c:pt idx="1">
                  <c:v>4.4444444444444444E-3</c:v>
                </c:pt>
                <c:pt idx="2">
                  <c:v>2.5000000000000001E-3</c:v>
                </c:pt>
                <c:pt idx="3">
                  <c:v>1.1111111111111111E-3</c:v>
                </c:pt>
                <c:pt idx="4">
                  <c:v>6.2500000000000001E-4</c:v>
                </c:pt>
                <c:pt idx="5">
                  <c:v>4.0000000000000002E-4</c:v>
                </c:pt>
                <c:pt idx="6">
                  <c:v>2.7777777777777778E-4</c:v>
                </c:pt>
                <c:pt idx="7">
                  <c:v>2.0408163265306123E-4</c:v>
                </c:pt>
                <c:pt idx="8">
                  <c:v>1.5625E-4</c:v>
                </c:pt>
                <c:pt idx="9">
                  <c:v>1.2345679012345679E-4</c:v>
                </c:pt>
                <c:pt idx="10">
                  <c:v>1E-4</c:v>
                </c:pt>
              </c:numCache>
            </c:numRef>
          </c:xVal>
          <c:yVal>
            <c:numRef>
              <c:f>Feuil1!$B$2:$B$12</c:f>
              <c:numCache>
                <c:formatCode>General</c:formatCode>
                <c:ptCount val="11"/>
                <c:pt idx="0">
                  <c:v>4.1900000000000004</c:v>
                </c:pt>
                <c:pt idx="1">
                  <c:v>1.7450000000000001</c:v>
                </c:pt>
                <c:pt idx="2">
                  <c:v>0.94499999999999995</c:v>
                </c:pt>
                <c:pt idx="3">
                  <c:v>0.47499999999999998</c:v>
                </c:pt>
                <c:pt idx="4">
                  <c:v>0.28599999999999998</c:v>
                </c:pt>
                <c:pt idx="5">
                  <c:v>0.16400000000000001</c:v>
                </c:pt>
                <c:pt idx="6">
                  <c:v>0.11700000000000001</c:v>
                </c:pt>
                <c:pt idx="7">
                  <c:v>8.2000000000000003E-2</c:v>
                </c:pt>
                <c:pt idx="8">
                  <c:v>5.1999999999999998E-2</c:v>
                </c:pt>
                <c:pt idx="9">
                  <c:v>5.2999999999999999E-2</c:v>
                </c:pt>
                <c:pt idx="10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8-4D80-853A-47BF2424D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803631"/>
        <c:axId val="1706801183"/>
      </c:scatterChart>
      <c:valAx>
        <c:axId val="162680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fr-FR" baseline="0">
                    <a:latin typeface="Times New Roman" panose="02020603050405020304" pitchFamily="18" charset="0"/>
                  </a:rPr>
                  <a:t>1/d²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fr-FR"/>
          </a:p>
        </c:txPr>
        <c:crossAx val="1706801183"/>
        <c:crosses val="autoZero"/>
        <c:crossBetween val="midCat"/>
      </c:valAx>
      <c:valAx>
        <c:axId val="170680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fr-FR" baseline="0">
                    <a:latin typeface="Times New Roman" panose="02020603050405020304" pitchFamily="18" charset="0"/>
                  </a:rPr>
                  <a:t>P(µW)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680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baseline="0">
                <a:latin typeface="Times New Roman" panose="02020603050405020304" pitchFamily="18" charset="0"/>
              </a:rPr>
              <a:t>Mesure puissance WIFI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251618547681539"/>
          <c:y val="0.15991146219913052"/>
          <c:w val="0.7759560367454067"/>
          <c:h val="0.72713168777101278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P(uW)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Feuil1!$A$2:$A$12</c:f>
              <c:numCache>
                <c:formatCode>General</c:formatCode>
                <c:ptCount val="1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Feuil1!$B$2:$B$12</c:f>
              <c:numCache>
                <c:formatCode>General</c:formatCode>
                <c:ptCount val="11"/>
                <c:pt idx="0">
                  <c:v>4.1900000000000004</c:v>
                </c:pt>
                <c:pt idx="1">
                  <c:v>1.7450000000000001</c:v>
                </c:pt>
                <c:pt idx="2">
                  <c:v>0.94499999999999995</c:v>
                </c:pt>
                <c:pt idx="3">
                  <c:v>0.47499999999999998</c:v>
                </c:pt>
                <c:pt idx="4">
                  <c:v>0.28599999999999998</c:v>
                </c:pt>
                <c:pt idx="5">
                  <c:v>0.16400000000000001</c:v>
                </c:pt>
                <c:pt idx="6">
                  <c:v>0.11700000000000001</c:v>
                </c:pt>
                <c:pt idx="7">
                  <c:v>8.2000000000000003E-2</c:v>
                </c:pt>
                <c:pt idx="8">
                  <c:v>5.1999999999999998E-2</c:v>
                </c:pt>
                <c:pt idx="9">
                  <c:v>5.2999999999999999E-2</c:v>
                </c:pt>
                <c:pt idx="10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2E-4065-A6F4-CA2E3A62A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775295"/>
        <c:axId val="1702775775"/>
      </c:scatterChart>
      <c:valAx>
        <c:axId val="170277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fr-FR" baseline="0">
                    <a:latin typeface="Times New Roman" panose="02020603050405020304" pitchFamily="18" charset="0"/>
                  </a:rPr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fr-FR"/>
          </a:p>
        </c:txPr>
        <c:crossAx val="1702775775"/>
        <c:crosses val="autoZero"/>
        <c:crossBetween val="midCat"/>
      </c:valAx>
      <c:valAx>
        <c:axId val="17027757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fr-FR" baseline="0">
                    <a:latin typeface="Times New Roman" panose="02020603050405020304" pitchFamily="18" charset="0"/>
                  </a:rPr>
                  <a:t>Puissance mesuré (µW)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fr-FR"/>
          </a:p>
        </c:txPr>
        <c:crossAx val="1702775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12</xdr:col>
      <xdr:colOff>0</xdr:colOff>
      <xdr:row>15</xdr:row>
      <xdr:rowOff>9524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DD23996-4AD1-2CF5-48C3-185B7154F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4762</xdr:rowOff>
    </xdr:from>
    <xdr:to>
      <xdr:col>12</xdr:col>
      <xdr:colOff>0</xdr:colOff>
      <xdr:row>32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83126E7-C09D-9CF4-901A-F35D74CC8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161925</xdr:colOff>
      <xdr:row>2</xdr:row>
      <xdr:rowOff>123825</xdr:rowOff>
    </xdr:from>
    <xdr:to>
      <xdr:col>18</xdr:col>
      <xdr:colOff>161925</xdr:colOff>
      <xdr:row>17</xdr:row>
      <xdr:rowOff>133349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78977B7-37E9-4916-B68C-63D035FB3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51D1-6A1F-40EC-824D-01A838430A7C}">
  <dimension ref="A1:E28"/>
  <sheetViews>
    <sheetView tabSelected="1" workbookViewId="0">
      <selection activeCell="N20" sqref="N20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10</v>
      </c>
      <c r="B2">
        <v>4.1900000000000004</v>
      </c>
      <c r="C2">
        <f>1/A2^2</f>
        <v>0.01</v>
      </c>
      <c r="D2">
        <f>B2/C2</f>
        <v>419.00000000000006</v>
      </c>
      <c r="E2">
        <f>B2/A2</f>
        <v>0.41900000000000004</v>
      </c>
    </row>
    <row r="3" spans="1:5" x14ac:dyDescent="0.25">
      <c r="A3">
        <v>15</v>
      </c>
      <c r="B3">
        <v>1.7450000000000001</v>
      </c>
      <c r="C3">
        <f t="shared" ref="C3:C12" si="0">1/A3^2</f>
        <v>4.4444444444444444E-3</v>
      </c>
      <c r="D3">
        <f t="shared" ref="D3:D12" si="1">B3/C3</f>
        <v>392.625</v>
      </c>
      <c r="E3">
        <f t="shared" ref="E3:E12" si="2">B3/A3</f>
        <v>0.11633333333333334</v>
      </c>
    </row>
    <row r="4" spans="1:5" x14ac:dyDescent="0.25">
      <c r="A4">
        <v>20</v>
      </c>
      <c r="B4">
        <v>0.94499999999999995</v>
      </c>
      <c r="C4">
        <f t="shared" si="0"/>
        <v>2.5000000000000001E-3</v>
      </c>
      <c r="D4">
        <f t="shared" si="1"/>
        <v>378</v>
      </c>
      <c r="E4">
        <f t="shared" si="2"/>
        <v>4.725E-2</v>
      </c>
    </row>
    <row r="5" spans="1:5" x14ac:dyDescent="0.25">
      <c r="A5">
        <v>30</v>
      </c>
      <c r="B5">
        <v>0.47499999999999998</v>
      </c>
      <c r="C5">
        <f t="shared" si="0"/>
        <v>1.1111111111111111E-3</v>
      </c>
      <c r="D5">
        <f t="shared" si="1"/>
        <v>427.5</v>
      </c>
      <c r="E5">
        <f t="shared" si="2"/>
        <v>1.5833333333333331E-2</v>
      </c>
    </row>
    <row r="6" spans="1:5" x14ac:dyDescent="0.25">
      <c r="A6">
        <v>40</v>
      </c>
      <c r="B6">
        <v>0.28599999999999998</v>
      </c>
      <c r="C6">
        <f t="shared" si="0"/>
        <v>6.2500000000000001E-4</v>
      </c>
      <c r="D6">
        <f t="shared" si="1"/>
        <v>457.59999999999997</v>
      </c>
      <c r="E6">
        <f t="shared" si="2"/>
        <v>7.1499999999999992E-3</v>
      </c>
    </row>
    <row r="7" spans="1:5" x14ac:dyDescent="0.25">
      <c r="A7">
        <v>50</v>
      </c>
      <c r="B7">
        <v>0.16400000000000001</v>
      </c>
      <c r="C7">
        <f t="shared" si="0"/>
        <v>4.0000000000000002E-4</v>
      </c>
      <c r="D7">
        <f t="shared" si="1"/>
        <v>410</v>
      </c>
      <c r="E7">
        <f t="shared" si="2"/>
        <v>3.2799999999999999E-3</v>
      </c>
    </row>
    <row r="8" spans="1:5" x14ac:dyDescent="0.25">
      <c r="A8">
        <v>60</v>
      </c>
      <c r="B8">
        <v>0.11700000000000001</v>
      </c>
      <c r="C8">
        <f t="shared" si="0"/>
        <v>2.7777777777777778E-4</v>
      </c>
      <c r="D8">
        <f t="shared" si="1"/>
        <v>421.20000000000005</v>
      </c>
      <c r="E8">
        <f t="shared" si="2"/>
        <v>1.9500000000000001E-3</v>
      </c>
    </row>
    <row r="9" spans="1:5" x14ac:dyDescent="0.25">
      <c r="A9">
        <v>70</v>
      </c>
      <c r="B9">
        <v>8.2000000000000003E-2</v>
      </c>
      <c r="C9">
        <f t="shared" si="0"/>
        <v>2.0408163265306123E-4</v>
      </c>
      <c r="D9">
        <f t="shared" si="1"/>
        <v>401.8</v>
      </c>
      <c r="E9">
        <f t="shared" si="2"/>
        <v>1.1714285714285715E-3</v>
      </c>
    </row>
    <row r="10" spans="1:5" x14ac:dyDescent="0.25">
      <c r="A10">
        <v>80</v>
      </c>
      <c r="B10">
        <v>5.1999999999999998E-2</v>
      </c>
      <c r="C10">
        <f t="shared" si="0"/>
        <v>1.5625E-4</v>
      </c>
      <c r="D10">
        <f t="shared" si="1"/>
        <v>332.79999999999995</v>
      </c>
      <c r="E10">
        <f t="shared" si="2"/>
        <v>6.4999999999999997E-4</v>
      </c>
    </row>
    <row r="11" spans="1:5" x14ac:dyDescent="0.25">
      <c r="A11">
        <v>90</v>
      </c>
      <c r="B11">
        <v>5.2999999999999999E-2</v>
      </c>
      <c r="C11">
        <f t="shared" si="0"/>
        <v>1.2345679012345679E-4</v>
      </c>
      <c r="D11">
        <f t="shared" si="1"/>
        <v>429.29999999999995</v>
      </c>
      <c r="E11">
        <f t="shared" si="2"/>
        <v>5.888888888888889E-4</v>
      </c>
    </row>
    <row r="12" spans="1:5" x14ac:dyDescent="0.25">
      <c r="A12">
        <v>100</v>
      </c>
      <c r="B12">
        <v>0.04</v>
      </c>
      <c r="C12">
        <f t="shared" si="0"/>
        <v>1E-4</v>
      </c>
      <c r="D12">
        <f t="shared" si="1"/>
        <v>400</v>
      </c>
      <c r="E12">
        <f t="shared" si="2"/>
        <v>4.0000000000000002E-4</v>
      </c>
    </row>
    <row r="14" spans="1:5" x14ac:dyDescent="0.25">
      <c r="D14">
        <f>SUM(D2,D3,D4,D5,D6,D7,D8,D9,D10,D11,D12)/11</f>
        <v>406.34772727272735</v>
      </c>
      <c r="E14">
        <f>SUM(E2,E3,E4,E5,E6,E7,E8,E9,E10,E11,E12)/11</f>
        <v>5.5782453102453111E-2</v>
      </c>
    </row>
    <row r="17" spans="2:2" x14ac:dyDescent="0.25">
      <c r="B17" t="s">
        <v>5</v>
      </c>
    </row>
    <row r="18" spans="2:2" x14ac:dyDescent="0.25">
      <c r="B18">
        <f>(B2*4*PI()/(0.001*50000*C2))</f>
        <v>105.30618574832988</v>
      </c>
    </row>
    <row r="19" spans="2:2" x14ac:dyDescent="0.25">
      <c r="B19">
        <f t="shared" ref="B19:B31" si="3">(B3*4*PI()/(0.001*50000*C3))</f>
        <v>98.677425249255407</v>
      </c>
    </row>
    <row r="20" spans="2:2" x14ac:dyDescent="0.25">
      <c r="B20">
        <f t="shared" si="3"/>
        <v>95.001761844555332</v>
      </c>
    </row>
    <row r="21" spans="2:2" x14ac:dyDescent="0.25">
      <c r="B21">
        <f t="shared" si="3"/>
        <v>107.44246875277094</v>
      </c>
    </row>
    <row r="22" spans="2:2" x14ac:dyDescent="0.25">
      <c r="B22">
        <f t="shared" si="3"/>
        <v>115.00742386261514</v>
      </c>
    </row>
    <row r="23" spans="2:2" x14ac:dyDescent="0.25">
      <c r="B23">
        <f t="shared" si="3"/>
        <v>103.04423903774521</v>
      </c>
    </row>
    <row r="24" spans="2:2" x14ac:dyDescent="0.25">
      <c r="B24">
        <f t="shared" si="3"/>
        <v>105.85910605536168</v>
      </c>
    </row>
    <row r="25" spans="2:2" x14ac:dyDescent="0.25">
      <c r="B25">
        <f t="shared" si="3"/>
        <v>100.98335425699031</v>
      </c>
    </row>
    <row r="26" spans="2:2" x14ac:dyDescent="0.25">
      <c r="B26">
        <f t="shared" si="3"/>
        <v>83.641762809174651</v>
      </c>
    </row>
    <row r="27" spans="2:2" x14ac:dyDescent="0.25">
      <c r="B27">
        <f t="shared" si="3"/>
        <v>107.89485809488784</v>
      </c>
    </row>
    <row r="28" spans="2:2" x14ac:dyDescent="0.25">
      <c r="B28">
        <f>(B12*4*PI()/(0.001*50000*C12))</f>
        <v>100.53096491487338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Savoie Mont Blanc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Borde</dc:creator>
  <cp:lastModifiedBy>Noah Borde</cp:lastModifiedBy>
  <dcterms:created xsi:type="dcterms:W3CDTF">2025-10-01T11:40:16Z</dcterms:created>
  <dcterms:modified xsi:type="dcterms:W3CDTF">2025-10-01T13:55:25Z</dcterms:modified>
</cp:coreProperties>
</file>